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9ebbac8f6b618c/Desktop/Summer research/archive/"/>
    </mc:Choice>
  </mc:AlternateContent>
  <xr:revisionPtr revIDLastSave="275" documentId="8_{D96ED5C2-E598-47FE-B5D0-FB1DBF781FD8}" xr6:coauthVersionLast="47" xr6:coauthVersionMax="47" xr10:uidLastSave="{3B41283D-A709-4485-A4C1-8628D2E1DFDF}"/>
  <bookViews>
    <workbookView xWindow="-108" yWindow="-108" windowWidth="23256" windowHeight="12456" activeTab="4" xr2:uid="{26E9A1E5-9178-4032-BAB0-3F0FDEA1875F}"/>
  </bookViews>
  <sheets>
    <sheet name="Model Summary" sheetId="1" r:id="rId1"/>
    <sheet name="Confusion Matrix" sheetId="2" r:id="rId2"/>
    <sheet name="Clinical Cost Analysis" sheetId="3" r:id="rId3"/>
    <sheet name="Baseline Comparison" sheetId="4" r:id="rId4"/>
    <sheet name="Dashboard 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4" l="1"/>
  <c r="C10" i="4"/>
  <c r="B9" i="4"/>
  <c r="E5" i="4"/>
  <c r="D5" i="4"/>
  <c r="E4" i="4"/>
  <c r="D4" i="4"/>
  <c r="C4" i="4"/>
  <c r="B4" i="4"/>
  <c r="B30" i="3"/>
  <c r="B28" i="3"/>
  <c r="B27" i="3"/>
  <c r="B26" i="3"/>
  <c r="B20" i="3"/>
  <c r="B19" i="3"/>
  <c r="B17" i="3"/>
  <c r="B12" i="3"/>
  <c r="B11" i="3"/>
  <c r="B8" i="3"/>
  <c r="B7" i="3"/>
</calcChain>
</file>

<file path=xl/sharedStrings.xml><?xml version="1.0" encoding="utf-8"?>
<sst xmlns="http://schemas.openxmlformats.org/spreadsheetml/2006/main" count="103" uniqueCount="95">
  <si>
    <t>Metric</t>
  </si>
  <si>
    <t>Score</t>
  </si>
  <si>
    <t>Model Type</t>
  </si>
  <si>
    <t>eXtreme Gradient Boosted Trees</t>
  </si>
  <si>
    <t>Dataset</t>
  </si>
  <si>
    <t>Breast Cancer Wisconsin Diagnostic</t>
  </si>
  <si>
    <t>Total Patients</t>
  </si>
  <si>
    <t>Holdout Patients</t>
  </si>
  <si>
    <t>AUC (Holdout)</t>
  </si>
  <si>
    <t>F1 Score (Holdout)</t>
  </si>
  <si>
    <t>Sensitivity / Recall</t>
  </si>
  <si>
    <t>Precision</t>
  </si>
  <si>
    <t>Gini Norm</t>
  </si>
  <si>
    <t>Max MCC</t>
  </si>
  <si>
    <t>Rate @ Top 10%</t>
  </si>
  <si>
    <t>False Negatives (Missed Cancers)</t>
  </si>
  <si>
    <t>False Positives (Unnecessary Flags)</t>
  </si>
  <si>
    <t>Breast Cancer Diagnostic Model :: Performance Summary</t>
  </si>
  <si>
    <t>Predicted Benign (0)</t>
  </si>
  <si>
    <t>Predicted Malignant (1)</t>
  </si>
  <si>
    <t>Total Actual</t>
  </si>
  <si>
    <t>Actual Benign (0)</t>
  </si>
  <si>
    <t>Actual Malignant (1)</t>
  </si>
  <si>
    <t>Total Predicted</t>
  </si>
  <si>
    <t>Cell Definitions</t>
  </si>
  <si>
    <t>TN (True Negatives)</t>
  </si>
  <si>
    <t>Benign correctly identified as Benign</t>
  </si>
  <si>
    <t>FP (False Positives)</t>
  </si>
  <si>
    <t>Benign incorrectly flagged as Malignant</t>
  </si>
  <si>
    <t>FN (False Negatives)</t>
  </si>
  <si>
    <t>Malignant missed — identified as Benign</t>
  </si>
  <si>
    <t>TP (True Positives)</t>
  </si>
  <si>
    <t>Malignant correctly identified as Malignant</t>
  </si>
  <si>
    <t>Confusion Matrix :: Holdout Set (114 Patients)</t>
  </si>
  <si>
    <t>Clinical Cost of Diagnostic Errors</t>
  </si>
  <si>
    <t>Input Data</t>
  </si>
  <si>
    <t>Total Malignant Cases (Holdout)</t>
  </si>
  <si>
    <t>Correctly Identified (True Positives)</t>
  </si>
  <si>
    <t>Missed Malignant Cases (False Negatives)</t>
  </si>
  <si>
    <t>False Negative Rate</t>
  </si>
  <si>
    <t>Benchmark — No Model (Random Guessing)</t>
  </si>
  <si>
    <t>Expected Missed Cases Without Model</t>
  </si>
  <si>
    <t>Cases Saved By Using Model</t>
  </si>
  <si>
    <t>5-Year Survival Rate Context</t>
  </si>
  <si>
    <t>5-Year Survival — Early Stage (Stage I/II)</t>
  </si>
  <si>
    <t>5-Year Survival — Late Stage (Stage III/IV)</t>
  </si>
  <si>
    <t>Survival Rate Difference</t>
  </si>
  <si>
    <t>Missed cases in this holdout sample</t>
  </si>
  <si>
    <t>Potential survival impact per missed case</t>
  </si>
  <si>
    <t>Clinical argument</t>
  </si>
  <si>
    <t>Each missed malignancy risks 72% lower survival probability if detected late</t>
  </si>
  <si>
    <t>Financial Cost of Missed Diagnosis</t>
  </si>
  <si>
    <t>Avg cost — Early stage breast cancer treatment</t>
  </si>
  <si>
    <t>Avg cost — Late stage breast cancer treatment</t>
  </si>
  <si>
    <t>Additional cost of late vs early detection</t>
  </si>
  <si>
    <t>False Negatives in holdout</t>
  </si>
  <si>
    <t>Estimated additional treatment cost (holdout)</t>
  </si>
  <si>
    <t>If scaled to 569 patients (full dataset)</t>
  </si>
  <si>
    <t>Model vs Baseline Comparison</t>
  </si>
  <si>
    <t>Scenario</t>
  </si>
  <si>
    <t>Malignant Cases Caught</t>
  </si>
  <si>
    <t>Malignant Cases Missed</t>
  </si>
  <si>
    <t>Recall / Sensitivity</t>
  </si>
  <si>
    <t>Est. Additional Treatment Cost</t>
  </si>
  <si>
    <t>No Model (Random Guessing)</t>
  </si>
  <si>
    <t>Perfect Model</t>
  </si>
  <si>
    <t>Improvement Over Baseline</t>
  </si>
  <si>
    <t>Additional Cases Caught vs No Model</t>
  </si>
  <si>
    <t>Reduction in Missed Cases</t>
  </si>
  <si>
    <t>Cost Savings vs No Model</t>
  </si>
  <si>
    <t xml:space="preserve"> XGBoost Model</t>
  </si>
  <si>
    <t>KPI Summary :: For Tableau Dashboard</t>
  </si>
  <si>
    <t>KPI</t>
  </si>
  <si>
    <t>Value</t>
  </si>
  <si>
    <t>Total Patients Analysed</t>
  </si>
  <si>
    <t>Holdout Patients (Unseen)</t>
  </si>
  <si>
    <t>Model AUC Score</t>
  </si>
  <si>
    <t>F1 Score</t>
  </si>
  <si>
    <t>Cancers Correctly Identified</t>
  </si>
  <si>
    <t>Cancers Missed (False Negatives)</t>
  </si>
  <si>
    <t>Top Predictive Features</t>
  </si>
  <si>
    <t>Feature</t>
  </si>
  <si>
    <t>Relative Importance</t>
  </si>
  <si>
    <t>concave points_worst</t>
  </si>
  <si>
    <t>smoothness_worst</t>
  </si>
  <si>
    <t>perimeter_worst</t>
  </si>
  <si>
    <t>radius_worst</t>
  </si>
  <si>
    <t>area_se</t>
  </si>
  <si>
    <t>texture_mean</t>
  </si>
  <si>
    <t>Model Comparison</t>
  </si>
  <si>
    <t>Cases Caught</t>
  </si>
  <si>
    <t>Cases Missed</t>
  </si>
  <si>
    <t>Treatment Cost</t>
  </si>
  <si>
    <t>No Model</t>
  </si>
  <si>
    <t>XGBoost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</si>
</sst>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9" fontId="0" fillId="0" borderId="1" xfId="0" applyNumberFormat="1" applyBorder="1"/>
    <xf numFmtId="6" fontId="0" fillId="0" borderId="1" xfId="0" applyNumberFormat="1" applyBorder="1"/>
    <xf numFmtId="8" fontId="0" fillId="0" borderId="1" xfId="0" applyNumberFormat="1" applyBorder="1"/>
    <xf numFmtId="9" fontId="0" fillId="0" borderId="1" xfId="2" applyFont="1" applyBorder="1"/>
    <xf numFmtId="0" fontId="0" fillId="0" borderId="1" xfId="0" applyFont="1" applyBorder="1"/>
    <xf numFmtId="44" fontId="0" fillId="0" borderId="1" xfId="1" applyFont="1" applyBorder="1"/>
    <xf numFmtId="0" fontId="0" fillId="5" borderId="1" xfId="0" applyFill="1" applyBorder="1"/>
    <xf numFmtId="44" fontId="0" fillId="5" borderId="1" xfId="1" applyFont="1" applyFill="1" applyBorder="1"/>
    <xf numFmtId="10" fontId="0" fillId="0" borderId="1" xfId="0" applyNumberFormat="1" applyBorder="1"/>
    <xf numFmtId="1" fontId="0" fillId="0" borderId="1" xfId="0" applyNumberFormat="1" applyBorder="1"/>
    <xf numFmtId="6" fontId="0" fillId="5" borderId="1" xfId="0" applyNumberForma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4E6D-86A1-4AD8-8BBB-076113F4C58E}">
  <dimension ref="A1:B16"/>
  <sheetViews>
    <sheetView workbookViewId="0">
      <selection activeCell="E17" sqref="E17"/>
    </sheetView>
  </sheetViews>
  <sheetFormatPr defaultRowHeight="14.4" x14ac:dyDescent="0.3"/>
  <cols>
    <col min="1" max="1" width="48.21875" bestFit="1" customWidth="1"/>
    <col min="2" max="2" width="30.44140625" bestFit="1" customWidth="1"/>
  </cols>
  <sheetData>
    <row r="1" spans="1:2" ht="18" x14ac:dyDescent="0.35">
      <c r="A1" s="2" t="s">
        <v>17</v>
      </c>
    </row>
    <row r="3" spans="1:2" x14ac:dyDescent="0.3">
      <c r="A3" s="3" t="s">
        <v>0</v>
      </c>
      <c r="B3" s="3" t="s">
        <v>1</v>
      </c>
    </row>
    <row r="4" spans="1:2" x14ac:dyDescent="0.3">
      <c r="A4" s="4" t="s">
        <v>2</v>
      </c>
      <c r="B4" s="4" t="s">
        <v>3</v>
      </c>
    </row>
    <row r="5" spans="1:2" x14ac:dyDescent="0.3">
      <c r="A5" s="4" t="s">
        <v>4</v>
      </c>
      <c r="B5" s="4" t="s">
        <v>5</v>
      </c>
    </row>
    <row r="6" spans="1:2" x14ac:dyDescent="0.3">
      <c r="A6" s="4" t="s">
        <v>6</v>
      </c>
      <c r="B6" s="4">
        <v>569</v>
      </c>
    </row>
    <row r="7" spans="1:2" x14ac:dyDescent="0.3">
      <c r="A7" s="4" t="s">
        <v>7</v>
      </c>
      <c r="B7" s="4">
        <v>114</v>
      </c>
    </row>
    <row r="8" spans="1:2" x14ac:dyDescent="0.3">
      <c r="A8" s="4" t="s">
        <v>8</v>
      </c>
      <c r="B8" s="4">
        <v>0.98550000000000004</v>
      </c>
    </row>
    <row r="9" spans="1:2" x14ac:dyDescent="0.3">
      <c r="A9" s="4" t="s">
        <v>9</v>
      </c>
      <c r="B9" s="4">
        <v>0.95120000000000005</v>
      </c>
    </row>
    <row r="10" spans="1:2" x14ac:dyDescent="0.3">
      <c r="A10" s="4" t="s">
        <v>10</v>
      </c>
      <c r="B10" s="4">
        <v>0.92859999999999998</v>
      </c>
    </row>
    <row r="11" spans="1:2" x14ac:dyDescent="0.3">
      <c r="A11" s="4" t="s">
        <v>11</v>
      </c>
      <c r="B11" s="4">
        <v>0.97499999999999998</v>
      </c>
    </row>
    <row r="12" spans="1:2" x14ac:dyDescent="0.3">
      <c r="A12" s="4" t="s">
        <v>12</v>
      </c>
      <c r="B12" s="4">
        <v>0.97089999999999999</v>
      </c>
    </row>
    <row r="13" spans="1:2" x14ac:dyDescent="0.3">
      <c r="A13" s="4" t="s">
        <v>13</v>
      </c>
      <c r="B13" s="4">
        <v>0.92449999999999999</v>
      </c>
    </row>
    <row r="14" spans="1:2" x14ac:dyDescent="0.3">
      <c r="A14" s="4" t="s">
        <v>14</v>
      </c>
      <c r="B14" s="4">
        <v>1</v>
      </c>
    </row>
    <row r="15" spans="1:2" x14ac:dyDescent="0.3">
      <c r="A15" s="4" t="s">
        <v>15</v>
      </c>
      <c r="B15" s="4">
        <v>3</v>
      </c>
    </row>
    <row r="16" spans="1:2" x14ac:dyDescent="0.3">
      <c r="A16" s="4" t="s">
        <v>16</v>
      </c>
      <c r="B16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CCFA-B74E-4558-9DDD-BFE7FF40BD7C}">
  <dimension ref="A1:D12"/>
  <sheetViews>
    <sheetView workbookViewId="0">
      <selection activeCell="B22" sqref="B22"/>
    </sheetView>
  </sheetViews>
  <sheetFormatPr defaultRowHeight="14.4" x14ac:dyDescent="0.3"/>
  <cols>
    <col min="1" max="1" width="38" bestFit="1" customWidth="1"/>
    <col min="2" max="2" width="17.21875" bestFit="1" customWidth="1"/>
    <col min="3" max="3" width="35" bestFit="1" customWidth="1"/>
    <col min="4" max="4" width="10.33203125" bestFit="1" customWidth="1"/>
  </cols>
  <sheetData>
    <row r="1" spans="1:4" ht="18" x14ac:dyDescent="0.35">
      <c r="A1" s="2" t="s">
        <v>33</v>
      </c>
    </row>
    <row r="3" spans="1:4" x14ac:dyDescent="0.3">
      <c r="A3" s="4"/>
      <c r="B3" s="4" t="s">
        <v>18</v>
      </c>
      <c r="C3" s="4" t="s">
        <v>19</v>
      </c>
      <c r="D3" s="4" t="s">
        <v>20</v>
      </c>
    </row>
    <row r="4" spans="1:4" x14ac:dyDescent="0.3">
      <c r="A4" s="4" t="s">
        <v>21</v>
      </c>
      <c r="B4" s="5">
        <v>71</v>
      </c>
      <c r="C4" s="6">
        <v>1</v>
      </c>
      <c r="D4" s="4">
        <v>72</v>
      </c>
    </row>
    <row r="5" spans="1:4" x14ac:dyDescent="0.3">
      <c r="A5" s="4" t="s">
        <v>22</v>
      </c>
      <c r="B5" s="7">
        <v>3</v>
      </c>
      <c r="C5" s="5">
        <v>39</v>
      </c>
      <c r="D5" s="4">
        <v>42</v>
      </c>
    </row>
    <row r="6" spans="1:4" x14ac:dyDescent="0.3">
      <c r="A6" s="4" t="s">
        <v>23</v>
      </c>
      <c r="B6" s="4">
        <v>74</v>
      </c>
      <c r="C6" s="4">
        <v>40</v>
      </c>
      <c r="D6" s="4">
        <v>114</v>
      </c>
    </row>
    <row r="8" spans="1:4" x14ac:dyDescent="0.3">
      <c r="A8" s="1" t="s">
        <v>24</v>
      </c>
    </row>
    <row r="9" spans="1:4" x14ac:dyDescent="0.3">
      <c r="A9" s="4" t="s">
        <v>25</v>
      </c>
      <c r="B9" s="4">
        <v>71</v>
      </c>
      <c r="C9" s="4" t="s">
        <v>26</v>
      </c>
    </row>
    <row r="10" spans="1:4" x14ac:dyDescent="0.3">
      <c r="A10" s="4" t="s">
        <v>27</v>
      </c>
      <c r="B10" s="4">
        <v>1</v>
      </c>
      <c r="C10" s="4" t="s">
        <v>28</v>
      </c>
    </row>
    <row r="11" spans="1:4" x14ac:dyDescent="0.3">
      <c r="A11" s="4" t="s">
        <v>29</v>
      </c>
      <c r="B11" s="4">
        <v>3</v>
      </c>
      <c r="C11" s="4" t="s">
        <v>30</v>
      </c>
    </row>
    <row r="12" spans="1:4" x14ac:dyDescent="0.3">
      <c r="A12" s="4" t="s">
        <v>31</v>
      </c>
      <c r="B12" s="4">
        <v>39</v>
      </c>
      <c r="C12" s="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F3C4-15C7-456B-B6C8-9570EEEBF64A}">
  <dimension ref="A1:B30"/>
  <sheetViews>
    <sheetView topLeftCell="A7" workbookViewId="0">
      <selection activeCell="E27" sqref="E27"/>
    </sheetView>
  </sheetViews>
  <sheetFormatPr defaultRowHeight="14.4" x14ac:dyDescent="0.3"/>
  <cols>
    <col min="1" max="1" width="38.88671875" bestFit="1" customWidth="1"/>
    <col min="2" max="2" width="61.77734375" bestFit="1" customWidth="1"/>
  </cols>
  <sheetData>
    <row r="1" spans="1:2" ht="18" x14ac:dyDescent="0.35">
      <c r="A1" s="2" t="s">
        <v>34</v>
      </c>
    </row>
    <row r="3" spans="1:2" x14ac:dyDescent="0.3">
      <c r="A3" s="1" t="s">
        <v>35</v>
      </c>
    </row>
    <row r="4" spans="1:2" x14ac:dyDescent="0.3">
      <c r="A4" s="4" t="s">
        <v>36</v>
      </c>
      <c r="B4" s="4">
        <v>42</v>
      </c>
    </row>
    <row r="5" spans="1:2" x14ac:dyDescent="0.3">
      <c r="A5" s="4" t="s">
        <v>37</v>
      </c>
      <c r="B5" s="4">
        <v>39</v>
      </c>
    </row>
    <row r="6" spans="1:2" x14ac:dyDescent="0.3">
      <c r="A6" s="4" t="s">
        <v>38</v>
      </c>
      <c r="B6" s="4">
        <v>3</v>
      </c>
    </row>
    <row r="7" spans="1:2" x14ac:dyDescent="0.3">
      <c r="A7" s="4" t="s">
        <v>39</v>
      </c>
      <c r="B7" s="11">
        <f>B6/B4</f>
        <v>7.1428571428571425E-2</v>
      </c>
    </row>
    <row r="8" spans="1:2" x14ac:dyDescent="0.3">
      <c r="A8" s="4" t="s">
        <v>10</v>
      </c>
      <c r="B8" s="11">
        <f>B5/B4</f>
        <v>0.9285714285714286</v>
      </c>
    </row>
    <row r="10" spans="1:2" x14ac:dyDescent="0.3">
      <c r="A10" s="1" t="s">
        <v>40</v>
      </c>
    </row>
    <row r="11" spans="1:2" x14ac:dyDescent="0.3">
      <c r="A11" s="4" t="s">
        <v>41</v>
      </c>
      <c r="B11" s="4">
        <f>B4*0.627</f>
        <v>26.334</v>
      </c>
    </row>
    <row r="12" spans="1:2" x14ac:dyDescent="0.3">
      <c r="A12" s="4" t="s">
        <v>42</v>
      </c>
      <c r="B12" s="4">
        <f>B11-B6</f>
        <v>23.334</v>
      </c>
    </row>
    <row r="14" spans="1:2" x14ac:dyDescent="0.3">
      <c r="A14" s="1" t="s">
        <v>43</v>
      </c>
    </row>
    <row r="15" spans="1:2" x14ac:dyDescent="0.3">
      <c r="A15" s="4" t="s">
        <v>44</v>
      </c>
      <c r="B15" s="8">
        <v>0.99</v>
      </c>
    </row>
    <row r="16" spans="1:2" x14ac:dyDescent="0.3">
      <c r="A16" s="4" t="s">
        <v>45</v>
      </c>
      <c r="B16" s="8">
        <v>0.27</v>
      </c>
    </row>
    <row r="17" spans="1:2" x14ac:dyDescent="0.3">
      <c r="A17" s="4" t="s">
        <v>46</v>
      </c>
      <c r="B17" s="8">
        <f>B15-B16</f>
        <v>0.72</v>
      </c>
    </row>
    <row r="18" spans="1:2" x14ac:dyDescent="0.3">
      <c r="A18" s="4"/>
      <c r="B18" s="4"/>
    </row>
    <row r="19" spans="1:2" x14ac:dyDescent="0.3">
      <c r="A19" s="4" t="s">
        <v>47</v>
      </c>
      <c r="B19" s="4">
        <f>B6</f>
        <v>3</v>
      </c>
    </row>
    <row r="20" spans="1:2" x14ac:dyDescent="0.3">
      <c r="A20" s="4" t="s">
        <v>48</v>
      </c>
      <c r="B20" s="8">
        <f>B17</f>
        <v>0.72</v>
      </c>
    </row>
    <row r="21" spans="1:2" x14ac:dyDescent="0.3">
      <c r="A21" s="4" t="s">
        <v>49</v>
      </c>
      <c r="B21" s="4" t="s">
        <v>50</v>
      </c>
    </row>
    <row r="23" spans="1:2" x14ac:dyDescent="0.3">
      <c r="A23" s="1" t="s">
        <v>51</v>
      </c>
    </row>
    <row r="24" spans="1:2" x14ac:dyDescent="0.3">
      <c r="A24" s="4" t="s">
        <v>52</v>
      </c>
      <c r="B24" s="9">
        <v>20000</v>
      </c>
    </row>
    <row r="25" spans="1:2" x14ac:dyDescent="0.3">
      <c r="A25" s="4" t="s">
        <v>53</v>
      </c>
      <c r="B25" s="9">
        <v>150000</v>
      </c>
    </row>
    <row r="26" spans="1:2" x14ac:dyDescent="0.3">
      <c r="A26" s="4" t="s">
        <v>54</v>
      </c>
      <c r="B26" s="9">
        <f>B25-B24</f>
        <v>130000</v>
      </c>
    </row>
    <row r="27" spans="1:2" x14ac:dyDescent="0.3">
      <c r="A27" s="4" t="s">
        <v>55</v>
      </c>
      <c r="B27" s="4">
        <f>B6</f>
        <v>3</v>
      </c>
    </row>
    <row r="28" spans="1:2" x14ac:dyDescent="0.3">
      <c r="A28" s="4" t="s">
        <v>56</v>
      </c>
      <c r="B28" s="9">
        <f>B26*B27</f>
        <v>390000</v>
      </c>
    </row>
    <row r="29" spans="1:2" x14ac:dyDescent="0.3">
      <c r="A29" s="4"/>
      <c r="B29" s="4"/>
    </row>
    <row r="30" spans="1:2" x14ac:dyDescent="0.3">
      <c r="A30" s="4" t="s">
        <v>57</v>
      </c>
      <c r="B30" s="10">
        <f>B26*(B6/114*569)</f>
        <v>1946578.9473684209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E2AD-1CF1-42CC-B6F5-60231C9528E3}">
  <dimension ref="A1:E11"/>
  <sheetViews>
    <sheetView workbookViewId="0">
      <selection activeCell="D15" sqref="D15"/>
    </sheetView>
  </sheetViews>
  <sheetFormatPr defaultRowHeight="14.4" x14ac:dyDescent="0.3"/>
  <cols>
    <col min="1" max="1" width="30.77734375" bestFit="1" customWidth="1"/>
    <col min="2" max="3" width="20.33203125" bestFit="1" customWidth="1"/>
    <col min="4" max="4" width="16.44140625" bestFit="1" customWidth="1"/>
    <col min="5" max="5" width="25.21875" bestFit="1" customWidth="1"/>
  </cols>
  <sheetData>
    <row r="1" spans="1:5" ht="18" x14ac:dyDescent="0.35">
      <c r="A1" s="2" t="s">
        <v>58</v>
      </c>
    </row>
    <row r="3" spans="1:5" x14ac:dyDescent="0.3">
      <c r="A3" s="3" t="s">
        <v>59</v>
      </c>
      <c r="B3" s="12" t="s">
        <v>60</v>
      </c>
      <c r="C3" s="12" t="s">
        <v>61</v>
      </c>
      <c r="D3" s="12" t="s">
        <v>62</v>
      </c>
      <c r="E3" s="12" t="s">
        <v>63</v>
      </c>
    </row>
    <row r="4" spans="1:5" x14ac:dyDescent="0.3">
      <c r="A4" s="4" t="s">
        <v>64</v>
      </c>
      <c r="B4" s="4">
        <f>42-ROUND(42*0.627,0)</f>
        <v>16</v>
      </c>
      <c r="C4" s="4">
        <f>ROUND(42*0.627,0)</f>
        <v>26</v>
      </c>
      <c r="D4" s="4">
        <f>B4/42</f>
        <v>0.38095238095238093</v>
      </c>
      <c r="E4" s="13">
        <f>C4*130000</f>
        <v>3380000</v>
      </c>
    </row>
    <row r="5" spans="1:5" x14ac:dyDescent="0.3">
      <c r="A5" s="14" t="s">
        <v>70</v>
      </c>
      <c r="B5" s="14">
        <v>39</v>
      </c>
      <c r="C5" s="14">
        <v>3</v>
      </c>
      <c r="D5" s="14">
        <f>B5/42</f>
        <v>0.9285714285714286</v>
      </c>
      <c r="E5" s="15">
        <f>C5*130000</f>
        <v>390000</v>
      </c>
    </row>
    <row r="6" spans="1:5" x14ac:dyDescent="0.3">
      <c r="A6" s="4" t="s">
        <v>65</v>
      </c>
      <c r="B6" s="4">
        <v>42</v>
      </c>
      <c r="C6" s="4">
        <v>0</v>
      </c>
      <c r="D6" s="4">
        <v>1</v>
      </c>
      <c r="E6" s="13">
        <v>0</v>
      </c>
    </row>
    <row r="8" spans="1:5" x14ac:dyDescent="0.3">
      <c r="A8" s="1" t="s">
        <v>66</v>
      </c>
    </row>
    <row r="9" spans="1:5" x14ac:dyDescent="0.3">
      <c r="A9" s="4" t="s">
        <v>67</v>
      </c>
      <c r="B9" s="4">
        <f>B5-B4</f>
        <v>23</v>
      </c>
    </row>
    <row r="10" spans="1:5" x14ac:dyDescent="0.3">
      <c r="A10" s="4" t="s">
        <v>68</v>
      </c>
      <c r="C10" s="4">
        <f>C4-C5</f>
        <v>23</v>
      </c>
    </row>
    <row r="11" spans="1:5" x14ac:dyDescent="0.3">
      <c r="A11" s="4" t="s">
        <v>69</v>
      </c>
      <c r="D11" s="13">
        <f>E4-E5</f>
        <v>2990000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D862-CA14-4277-AB7B-092DB0EBE658}">
  <dimension ref="A1:D29"/>
  <sheetViews>
    <sheetView tabSelected="1" topLeftCell="A3" workbookViewId="0">
      <selection activeCell="L11" sqref="L11"/>
    </sheetView>
  </sheetViews>
  <sheetFormatPr defaultRowHeight="14.4" x14ac:dyDescent="0.3"/>
  <cols>
    <col min="1" max="1" width="33.33203125" bestFit="1" customWidth="1"/>
    <col min="2" max="2" width="17" bestFit="1" customWidth="1"/>
    <col min="3" max="3" width="12" bestFit="1" customWidth="1"/>
    <col min="4" max="4" width="13.33203125" bestFit="1" customWidth="1"/>
  </cols>
  <sheetData>
    <row r="1" spans="1:2" x14ac:dyDescent="0.3">
      <c r="A1" s="1" t="s">
        <v>71</v>
      </c>
    </row>
    <row r="3" spans="1:2" x14ac:dyDescent="0.3">
      <c r="A3" s="3" t="s">
        <v>72</v>
      </c>
      <c r="B3" s="3" t="s">
        <v>73</v>
      </c>
    </row>
    <row r="4" spans="1:2" x14ac:dyDescent="0.3">
      <c r="A4" s="4" t="s">
        <v>74</v>
      </c>
      <c r="B4" s="4">
        <v>569</v>
      </c>
    </row>
    <row r="5" spans="1:2" x14ac:dyDescent="0.3">
      <c r="A5" s="4" t="s">
        <v>75</v>
      </c>
      <c r="B5" s="4">
        <v>114</v>
      </c>
    </row>
    <row r="6" spans="1:2" x14ac:dyDescent="0.3">
      <c r="A6" s="4" t="s">
        <v>76</v>
      </c>
      <c r="B6" s="4">
        <v>0.98550000000000004</v>
      </c>
    </row>
    <row r="7" spans="1:2" x14ac:dyDescent="0.3">
      <c r="A7" s="4" t="s">
        <v>77</v>
      </c>
      <c r="B7" s="4">
        <v>0.95120000000000005</v>
      </c>
    </row>
    <row r="8" spans="1:2" x14ac:dyDescent="0.3">
      <c r="A8" s="4" t="s">
        <v>62</v>
      </c>
      <c r="B8" s="16">
        <v>0.92859999999999998</v>
      </c>
    </row>
    <row r="9" spans="1:2" x14ac:dyDescent="0.3">
      <c r="A9" s="4" t="s">
        <v>11</v>
      </c>
      <c r="B9" s="16">
        <v>0.97499999999999998</v>
      </c>
    </row>
    <row r="10" spans="1:2" x14ac:dyDescent="0.3">
      <c r="A10" s="4" t="s">
        <v>78</v>
      </c>
      <c r="B10" s="4">
        <v>39</v>
      </c>
    </row>
    <row r="11" spans="1:2" x14ac:dyDescent="0.3">
      <c r="A11" s="4" t="s">
        <v>79</v>
      </c>
      <c r="B11" s="4">
        <v>3</v>
      </c>
    </row>
    <row r="12" spans="1:2" x14ac:dyDescent="0.3">
      <c r="A12" s="4" t="s">
        <v>39</v>
      </c>
      <c r="B12" s="16">
        <v>7.1400000000000005E-2</v>
      </c>
    </row>
    <row r="13" spans="1:2" x14ac:dyDescent="0.3">
      <c r="A13" s="4" t="s">
        <v>67</v>
      </c>
      <c r="B13" s="17">
        <v>23</v>
      </c>
    </row>
    <row r="14" spans="1:2" x14ac:dyDescent="0.3">
      <c r="A14" s="4" t="s">
        <v>69</v>
      </c>
      <c r="B14" s="9">
        <v>2990000</v>
      </c>
    </row>
    <row r="16" spans="1:2" x14ac:dyDescent="0.3">
      <c r="A16" s="1" t="s">
        <v>80</v>
      </c>
    </row>
    <row r="17" spans="1:4" x14ac:dyDescent="0.3">
      <c r="A17" s="4" t="s">
        <v>81</v>
      </c>
      <c r="B17" s="4" t="s">
        <v>82</v>
      </c>
    </row>
    <row r="18" spans="1:4" x14ac:dyDescent="0.3">
      <c r="A18" s="4" t="s">
        <v>83</v>
      </c>
      <c r="B18" s="8">
        <v>1</v>
      </c>
    </row>
    <row r="19" spans="1:4" x14ac:dyDescent="0.3">
      <c r="A19" s="4" t="s">
        <v>84</v>
      </c>
      <c r="B19" s="8">
        <v>0.95</v>
      </c>
    </row>
    <row r="20" spans="1:4" x14ac:dyDescent="0.3">
      <c r="A20" s="4" t="s">
        <v>85</v>
      </c>
      <c r="B20" s="8">
        <v>0.88</v>
      </c>
    </row>
    <row r="21" spans="1:4" x14ac:dyDescent="0.3">
      <c r="A21" s="4" t="s">
        <v>86</v>
      </c>
      <c r="B21" s="8">
        <v>0.85</v>
      </c>
    </row>
    <row r="22" spans="1:4" x14ac:dyDescent="0.3">
      <c r="A22" s="4" t="s">
        <v>87</v>
      </c>
      <c r="B22" s="8">
        <v>0.78</v>
      </c>
    </row>
    <row r="23" spans="1:4" x14ac:dyDescent="0.3">
      <c r="A23" s="4" t="s">
        <v>88</v>
      </c>
      <c r="B23" s="8">
        <v>0.72</v>
      </c>
    </row>
    <row r="25" spans="1:4" x14ac:dyDescent="0.3">
      <c r="A25" s="1" t="s">
        <v>89</v>
      </c>
    </row>
    <row r="26" spans="1:4" x14ac:dyDescent="0.3">
      <c r="A26" s="4" t="s">
        <v>59</v>
      </c>
      <c r="B26" s="4" t="s">
        <v>90</v>
      </c>
      <c r="C26" s="4" t="s">
        <v>91</v>
      </c>
      <c r="D26" s="4" t="s">
        <v>92</v>
      </c>
    </row>
    <row r="27" spans="1:4" x14ac:dyDescent="0.3">
      <c r="A27" s="4" t="s">
        <v>93</v>
      </c>
      <c r="B27" s="4">
        <v>16</v>
      </c>
      <c r="C27" s="4">
        <v>26</v>
      </c>
      <c r="D27" s="9">
        <v>3380000</v>
      </c>
    </row>
    <row r="28" spans="1:4" x14ac:dyDescent="0.3">
      <c r="A28" s="14" t="s">
        <v>94</v>
      </c>
      <c r="B28" s="14">
        <v>39</v>
      </c>
      <c r="C28" s="14">
        <v>3</v>
      </c>
      <c r="D28" s="18">
        <v>390000</v>
      </c>
    </row>
    <row r="29" spans="1:4" x14ac:dyDescent="0.3">
      <c r="A29" s="4" t="s">
        <v>65</v>
      </c>
      <c r="B29" s="4">
        <v>42</v>
      </c>
      <c r="C29" s="4">
        <v>0</v>
      </c>
      <c r="D29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 Summary</vt:lpstr>
      <vt:lpstr>Confusion Matrix</vt:lpstr>
      <vt:lpstr>Clinical Cost Analysis</vt:lpstr>
      <vt:lpstr>Baseline Comparison</vt:lpstr>
      <vt:lpstr>Dashboard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Gautam</dc:creator>
  <cp:lastModifiedBy>Aarya Gautam</cp:lastModifiedBy>
  <dcterms:created xsi:type="dcterms:W3CDTF">2026-06-08T20:41:31Z</dcterms:created>
  <dcterms:modified xsi:type="dcterms:W3CDTF">2026-06-08T22:18:36Z</dcterms:modified>
</cp:coreProperties>
</file>